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 Danila\Downloads\"/>
    </mc:Choice>
  </mc:AlternateContent>
  <xr:revisionPtr revIDLastSave="0" documentId="8_{741F7B04-2E7C-4C5C-9D78-4F470DF809C0}" xr6:coauthVersionLast="47" xr6:coauthVersionMax="47" xr10:uidLastSave="{00000000-0000-0000-0000-000000000000}"/>
  <bookViews>
    <workbookView xWindow="-108" yWindow="-108" windowWidth="23256" windowHeight="13896" xr2:uid="{96E00598-A80C-40D4-8C43-CDFFF7A59075}"/>
  </bookViews>
  <sheets>
    <sheet name="Table4" sheetId="2" r:id="rId1"/>
    <sheet name="Sheet1" sheetId="1" r:id="rId2"/>
    <sheet name="GPT cache" sheetId="3" state="veryHidden" r:id="rId3"/>
  </sheets>
  <externalReferences>
    <externalReference r:id="rId4"/>
  </externalReferences>
  <definedNames>
    <definedName name="ExternalData_1" localSheetId="0" hidden="1">Table4!$A$1:$B$98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2" l="1" a="1"/>
  <c r="D19" i="2" s="1"/>
  <c r="D22" i="2" a="1"/>
  <c r="D22" i="2" s="1"/>
  <c r="I15" i="2"/>
  <c r="G5" i="2" a="1"/>
  <c r="G5" i="2" l="1"/>
  <c r="I12" i="2" l="1"/>
  <c r="E12" i="2"/>
  <c r="E15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FA08C2E-589B-4F32-AAA5-76ECB864EB43}" keepAlive="1" name="Query - Table4" description="Connection to the 'Table4' query in the workbook." type="5" refreshedVersion="8" background="1" saveData="1">
    <dbPr connection="Provider=Microsoft.Mashup.OleDb.1;Data Source=$Workbook$;Location=Table4;Extended Properties=&quot;&quot;" command="SELECT * FROM [Table4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<sst xmlns="http://schemas.openxmlformats.org/spreadsheetml/2006/main" count="244" uniqueCount="236">
  <si>
    <t xml:space="preserve"> H       </t>
  </si>
  <si>
    <t xml:space="preserve"> 1.008        </t>
  </si>
  <si>
    <t xml:space="preserve"> He      </t>
  </si>
  <si>
    <t xml:space="preserve"> 4.0026       </t>
  </si>
  <si>
    <t xml:space="preserve"> Li      </t>
  </si>
  <si>
    <t xml:space="preserve"> 6.94         </t>
  </si>
  <si>
    <t xml:space="preserve"> Be      </t>
  </si>
  <si>
    <t xml:space="preserve"> 9.0122       </t>
  </si>
  <si>
    <t xml:space="preserve"> B       </t>
  </si>
  <si>
    <t xml:space="preserve"> 10.81        </t>
  </si>
  <si>
    <t xml:space="preserve"> C       </t>
  </si>
  <si>
    <t xml:space="preserve"> 12.011       </t>
  </si>
  <si>
    <t xml:space="preserve"> N       </t>
  </si>
  <si>
    <t xml:space="preserve"> 14.007       </t>
  </si>
  <si>
    <t xml:space="preserve"> O       </t>
  </si>
  <si>
    <t xml:space="preserve"> 15.999       </t>
  </si>
  <si>
    <t xml:space="preserve"> F       </t>
  </si>
  <si>
    <t xml:space="preserve"> 18.998       </t>
  </si>
  <si>
    <t xml:space="preserve"> Ne      </t>
  </si>
  <si>
    <t xml:space="preserve"> 20.180       </t>
  </si>
  <si>
    <t xml:space="preserve"> Na      </t>
  </si>
  <si>
    <t xml:space="preserve"> 22.990       </t>
  </si>
  <si>
    <t xml:space="preserve"> Mg      </t>
  </si>
  <si>
    <t xml:space="preserve"> 24.305       </t>
  </si>
  <si>
    <t xml:space="preserve"> Al      </t>
  </si>
  <si>
    <t xml:space="preserve"> 26.982       </t>
  </si>
  <si>
    <t xml:space="preserve"> Si      </t>
  </si>
  <si>
    <t xml:space="preserve"> 28.085       </t>
  </si>
  <si>
    <t xml:space="preserve"> P       </t>
  </si>
  <si>
    <t xml:space="preserve"> 30.974       </t>
  </si>
  <si>
    <t xml:space="preserve"> S       </t>
  </si>
  <si>
    <t xml:space="preserve"> 32.06        </t>
  </si>
  <si>
    <t xml:space="preserve"> Cl      </t>
  </si>
  <si>
    <t xml:space="preserve"> 35.45        </t>
  </si>
  <si>
    <t xml:space="preserve"> K       </t>
  </si>
  <si>
    <t xml:space="preserve"> 39.098       </t>
  </si>
  <si>
    <t xml:space="preserve"> Ar      </t>
  </si>
  <si>
    <t xml:space="preserve"> 39.948       </t>
  </si>
  <si>
    <t xml:space="preserve"> Ca      </t>
  </si>
  <si>
    <t xml:space="preserve"> 40.078       </t>
  </si>
  <si>
    <t xml:space="preserve"> Sc      </t>
  </si>
  <si>
    <t xml:space="preserve"> 44.956       </t>
  </si>
  <si>
    <t xml:space="preserve"> Ti      </t>
  </si>
  <si>
    <t xml:space="preserve"> 47.867       </t>
  </si>
  <si>
    <t xml:space="preserve"> V       </t>
  </si>
  <si>
    <t xml:space="preserve"> 50.942       </t>
  </si>
  <si>
    <t xml:space="preserve"> Cr      </t>
  </si>
  <si>
    <t xml:space="preserve"> 51.996       </t>
  </si>
  <si>
    <t xml:space="preserve"> Mn      </t>
  </si>
  <si>
    <t xml:space="preserve"> 54.938       </t>
  </si>
  <si>
    <t xml:space="preserve"> Fe      </t>
  </si>
  <si>
    <t xml:space="preserve"> 55.845       </t>
  </si>
  <si>
    <t xml:space="preserve"> Ni      </t>
  </si>
  <si>
    <t xml:space="preserve"> 58.693       </t>
  </si>
  <si>
    <t xml:space="preserve"> Cu      </t>
  </si>
  <si>
    <t xml:space="preserve"> 63.546       </t>
  </si>
  <si>
    <t xml:space="preserve"> Zn      </t>
  </si>
  <si>
    <t xml:space="preserve"> 65.38        </t>
  </si>
  <si>
    <t xml:space="preserve"> Ga      </t>
  </si>
  <si>
    <t xml:space="preserve"> 69.723       </t>
  </si>
  <si>
    <t xml:space="preserve"> Ge      </t>
  </si>
  <si>
    <t xml:space="preserve"> 72.63        </t>
  </si>
  <si>
    <t xml:space="preserve"> As      </t>
  </si>
  <si>
    <t xml:space="preserve"> 74.922       </t>
  </si>
  <si>
    <t xml:space="preserve"> Se      </t>
  </si>
  <si>
    <t xml:space="preserve"> 78.971       </t>
  </si>
  <si>
    <t xml:space="preserve"> Br      </t>
  </si>
  <si>
    <t xml:space="preserve"> 79.904       </t>
  </si>
  <si>
    <t xml:space="preserve"> Kr      </t>
  </si>
  <si>
    <t xml:space="preserve"> 83.798       </t>
  </si>
  <si>
    <t xml:space="preserve"> Rb      </t>
  </si>
  <si>
    <t xml:space="preserve"> 85.468       </t>
  </si>
  <si>
    <t xml:space="preserve"> Sr      </t>
  </si>
  <si>
    <t xml:space="preserve"> 87.62        </t>
  </si>
  <si>
    <t xml:space="preserve"> Y       </t>
  </si>
  <si>
    <t xml:space="preserve"> 88.906       </t>
  </si>
  <si>
    <t xml:space="preserve"> Zr      </t>
  </si>
  <si>
    <t xml:space="preserve"> 91.224       </t>
  </si>
  <si>
    <t xml:space="preserve"> Nb      </t>
  </si>
  <si>
    <t xml:space="preserve"> 92.906       </t>
  </si>
  <si>
    <t xml:space="preserve"> Mo      </t>
  </si>
  <si>
    <t xml:space="preserve"> 95.95        </t>
  </si>
  <si>
    <t xml:space="preserve"> Tc      </t>
  </si>
  <si>
    <t xml:space="preserve"> 98           </t>
  </si>
  <si>
    <t xml:space="preserve"> Ru      </t>
  </si>
  <si>
    <t xml:space="preserve"> 101.07       </t>
  </si>
  <si>
    <t xml:space="preserve"> Rh      </t>
  </si>
  <si>
    <t xml:space="preserve"> 102.91       </t>
  </si>
  <si>
    <t xml:space="preserve"> Pd      </t>
  </si>
  <si>
    <t xml:space="preserve"> 106.42       </t>
  </si>
  <si>
    <t xml:space="preserve"> Ag      </t>
  </si>
  <si>
    <t xml:space="preserve"> 107.87       </t>
  </si>
  <si>
    <t xml:space="preserve"> Cd      </t>
  </si>
  <si>
    <t xml:space="preserve"> 112.41       </t>
  </si>
  <si>
    <t xml:space="preserve"> In      </t>
  </si>
  <si>
    <t xml:space="preserve"> 114.82       </t>
  </si>
  <si>
    <t xml:space="preserve"> Sn      </t>
  </si>
  <si>
    <t xml:space="preserve"> 118.71       </t>
  </si>
  <si>
    <t xml:space="preserve"> Sb      </t>
  </si>
  <si>
    <t xml:space="preserve"> 121.76       </t>
  </si>
  <si>
    <t xml:space="preserve"> Te      </t>
  </si>
  <si>
    <t xml:space="preserve"> 127.6        </t>
  </si>
  <si>
    <t xml:space="preserve"> I       </t>
  </si>
  <si>
    <t xml:space="preserve"> 126.9        </t>
  </si>
  <si>
    <t xml:space="preserve"> Xe      </t>
  </si>
  <si>
    <t xml:space="preserve"> 131.29       </t>
  </si>
  <si>
    <t xml:space="preserve"> Cs      </t>
  </si>
  <si>
    <t xml:space="preserve"> 132.91       </t>
  </si>
  <si>
    <t xml:space="preserve"> Ba      </t>
  </si>
  <si>
    <t xml:space="preserve"> 137.33       </t>
  </si>
  <si>
    <t xml:space="preserve"> La      </t>
  </si>
  <si>
    <t xml:space="preserve"> 138.91       </t>
  </si>
  <si>
    <t xml:space="preserve"> Ce      </t>
  </si>
  <si>
    <t xml:space="preserve"> 140.12       </t>
  </si>
  <si>
    <t xml:space="preserve"> Pr      </t>
  </si>
  <si>
    <t xml:space="preserve"> 140.91       </t>
  </si>
  <si>
    <t xml:space="preserve"> Nd      </t>
  </si>
  <si>
    <t xml:space="preserve"> 144.24       </t>
  </si>
  <si>
    <t xml:space="preserve"> Pm      </t>
  </si>
  <si>
    <t xml:space="preserve"> 145          </t>
  </si>
  <si>
    <t xml:space="preserve"> Sm      </t>
  </si>
  <si>
    <t xml:space="preserve"> 150.36       </t>
  </si>
  <si>
    <t xml:space="preserve"> Eu      </t>
  </si>
  <si>
    <t xml:space="preserve"> 151.96       </t>
  </si>
  <si>
    <t xml:space="preserve"> Gd      </t>
  </si>
  <si>
    <t xml:space="preserve"> 157.25       </t>
  </si>
  <si>
    <t xml:space="preserve"> Tb      </t>
  </si>
  <si>
    <t xml:space="preserve"> 158.93       </t>
  </si>
  <si>
    <t xml:space="preserve"> Dy      </t>
  </si>
  <si>
    <t xml:space="preserve"> 162.5        </t>
  </si>
  <si>
    <t xml:space="preserve"> Ho      </t>
  </si>
  <si>
    <t xml:space="preserve"> 164.93       </t>
  </si>
  <si>
    <t xml:space="preserve"> Er      </t>
  </si>
  <si>
    <t xml:space="preserve"> 167.26       </t>
  </si>
  <si>
    <t xml:space="preserve"> Tm      </t>
  </si>
  <si>
    <t xml:space="preserve"> 168.93       </t>
  </si>
  <si>
    <t xml:space="preserve"> Yb      </t>
  </si>
  <si>
    <t xml:space="preserve"> 173.04       </t>
  </si>
  <si>
    <t xml:space="preserve"> Lu      </t>
  </si>
  <si>
    <t xml:space="preserve"> 174.97       </t>
  </si>
  <si>
    <t xml:space="preserve"> Hf      </t>
  </si>
  <si>
    <t xml:space="preserve"> 178.49       </t>
  </si>
  <si>
    <t xml:space="preserve"> Ta      </t>
  </si>
  <si>
    <t xml:space="preserve"> 180.95       </t>
  </si>
  <si>
    <t xml:space="preserve"> W       </t>
  </si>
  <si>
    <t xml:space="preserve"> 183.84       </t>
  </si>
  <si>
    <t xml:space="preserve"> Re      </t>
  </si>
  <si>
    <t xml:space="preserve"> 186.21       </t>
  </si>
  <si>
    <t xml:space="preserve"> Os      </t>
  </si>
  <si>
    <t xml:space="preserve"> 190.23       </t>
  </si>
  <si>
    <t xml:space="preserve"> Ir      </t>
  </si>
  <si>
    <t xml:space="preserve"> 192.22       </t>
  </si>
  <si>
    <t xml:space="preserve"> Pt      </t>
  </si>
  <si>
    <t xml:space="preserve"> 195.08       </t>
  </si>
  <si>
    <t xml:space="preserve"> Au      </t>
  </si>
  <si>
    <t xml:space="preserve"> 196.97       </t>
  </si>
  <si>
    <t xml:space="preserve"> Hg      </t>
  </si>
  <si>
    <t xml:space="preserve"> 200.59       </t>
  </si>
  <si>
    <t xml:space="preserve"> Tl      </t>
  </si>
  <si>
    <t xml:space="preserve"> 204.38       </t>
  </si>
  <si>
    <t xml:space="preserve"> Pb      </t>
  </si>
  <si>
    <t xml:space="preserve"> 207.2        </t>
  </si>
  <si>
    <t xml:space="preserve"> Bi      </t>
  </si>
  <si>
    <t xml:space="preserve"> 208.98       </t>
  </si>
  <si>
    <t xml:space="preserve"> Th      </t>
  </si>
  <si>
    <t xml:space="preserve"> 232.04       </t>
  </si>
  <si>
    <t xml:space="preserve"> Pa      </t>
  </si>
  <si>
    <t xml:space="preserve"> 231.04       </t>
  </si>
  <si>
    <t xml:space="preserve"> U       </t>
  </si>
  <si>
    <t xml:space="preserve"> 238.03       </t>
  </si>
  <si>
    <t xml:space="preserve"> Np      </t>
  </si>
  <si>
    <t xml:space="preserve"> 237          </t>
  </si>
  <si>
    <t xml:space="preserve"> Pu      </t>
  </si>
  <si>
    <t xml:space="preserve"> 244          </t>
  </si>
  <si>
    <t xml:space="preserve"> Am      </t>
  </si>
  <si>
    <t xml:space="preserve"> 243          </t>
  </si>
  <si>
    <t xml:space="preserve"> Cm      </t>
  </si>
  <si>
    <t xml:space="preserve"> 247          </t>
  </si>
  <si>
    <t xml:space="preserve"> Bk      </t>
  </si>
  <si>
    <t xml:space="preserve"> Cf      </t>
  </si>
  <si>
    <t xml:space="preserve"> 251          </t>
  </si>
  <si>
    <t xml:space="preserve"> Es      </t>
  </si>
  <si>
    <t xml:space="preserve"> 252          </t>
  </si>
  <si>
    <t xml:space="preserve"> Fm      </t>
  </si>
  <si>
    <t xml:space="preserve"> 257          </t>
  </si>
  <si>
    <t xml:space="preserve"> Md      </t>
  </si>
  <si>
    <t xml:space="preserve"> 258          </t>
  </si>
  <si>
    <t xml:space="preserve"> No      </t>
  </si>
  <si>
    <t xml:space="preserve"> 259          </t>
  </si>
  <si>
    <t xml:space="preserve"> Lr      </t>
  </si>
  <si>
    <t xml:space="preserve"> 262          </t>
  </si>
  <si>
    <t>g</t>
  </si>
  <si>
    <t>mol</t>
  </si>
  <si>
    <t>g/mol</t>
  </si>
  <si>
    <t>М</t>
  </si>
  <si>
    <t>{"hash":"2ea66b905628a14241bbd2743563b5958cde7476bd5862c2a90989f6e7195991","version":1,"value":"[[\"Hi! How can I assist you today?\"]]"}</t>
  </si>
  <si>
    <t>{"hash":"a16b358b574b4164edf931893281b7ab06394d51e338083b4aa8db4d797cba71","version":1,"value":"[[\"Cr2O3 is the chemical formula for chromium(III) oxide. It is a dark green powder that is insoluble in water. It is commonly used as a pigment in paints, ceramics, and glass. It is also used in the production of chrome metal and as a catalyst in various chemical reactions.\"]]"}</t>
  </si>
  <si>
    <t>{"hash":"7d54b01ca7ff54a7dc79e57f412f593819357ac91d6ada6a7d01c8a777ca0a1b","version":1,"value":"[[\"Cr2O3 - это химическое соединение, известное как оксид хрома (III). Оно представляет собой темно-зеленый порошок, который не растворяется в воде. Cr2O3 является одним из наиболее распространенных оксидов хрома и используется в различных промышленных процессах.\\n\\nОксид хрома (III) имеет множество применений. Он используется в качестве катализатора в производстве пластмасс, резиновых изделий и других химических соединений. Cr2O3 также используется в качестве пигмента для окрашивания стекла, керамики и красок. Он также может быть использован в качестве защитного покрытия для металлических поверхностей, таких как алюминий и медь, чтобы предотвратить коррозию.\\n\\nCr2O3 имеет высокую термическую стабильность и может выдерживать высокие температуры. Это делает его полезным в производстве огнеупорных материалов, таких как кирпичи и керамические плитки.\\n\\nОднако Cr2O3 также является токсичным веществом и может вызывать различные заболевания, такие как астма и рак легких, если его вдыхать в больших количествах. Поэтому необходимо соблюдать меры предосторожности при работе с этим веществом.\"]]"}</t>
  </si>
  <si>
    <t>{"hash":"538d512b1633aa794cfb833a079b228747f938fa69fe48bea9d3facc0f5e81e9","version":1,"value":"[[\"Cr2O3 is the chemical formula for chromium(III) oxide, also known as chromia. It is an inorganic compound that consists of two chromium atoms bonded to three oxygen atoms. \\n\\nPhysical Properties:\\n- Cr2O3 appears as a dark green powder or solid.\\n- It has a high melting point of around 2,435 degrees Celsius.\\n- The compound is insoluble in water but soluble in acids.\\n\\nChemical Properties:\\n- Cr2O3 is a stable compound and is not easily reduced or oxidized.\\n- It is a basic oxide, meaning it can react with acids to form salts.\\n- When heated with aluminum powder, it undergoes a thermite reaction, producing chromium metal and aluminum oxide.\\n\\nUses:\\n- Chromia is commonly used as a pigment in paints, ceramics, and glass due to its bright green color.\\n- It is also used as a catalyst in various chemical reactions.\\n- Cr2O3 is an essential component in the production of refractory materials, which are used in high-temperature applications like furnaces and kilns.\\n- It is used in the manufacturing of magnetic tapes and as a polishing agent for metals.\\n\\nHazards:\\n- Cr2O3 is generally considered to be non-toxic and poses minimal health risks.\\n- However, inhalation of the compound in fine powder form may cause respiratory irritation.\\n- It is important to handle and store Cr2O3 safely to avoid any potential hazards.\"]]"}</t>
  </si>
  <si>
    <t>{"hash":"7d74cb370b68e920cb50ffe8ae6e00b7c584c4d5044f5f6a691288d23c00081d","version":1,"value":"[[\"The compound Cr2O3 is green in color.\"]]"}</t>
  </si>
  <si>
    <t>{"hash":"8c1246feabf349ba7a9a8e53d6ab6c86968223932fa3f2487c6e11d14a64ecee","version":1,"value":"[[\"The compound Ag2CrO4 is silver chromate. It is a yellow solid.\"]]"}</t>
  </si>
  <si>
    <t>{"hash":"c5bf11b3b98b8890f5d5dc54f014754269b5da2f123e05edb58b2dc2e140b49a","version":1,"value":"[[\"The compound Ag2Cr2O7 is a dark red color.\"]]"}</t>
  </si>
  <si>
    <t>Color:</t>
  </si>
  <si>
    <t>{"hash":"544b064dca0e86f812511bc33d7295e7815dad0bf5caebc070c1d93b3538993e","version":1,"value":"[[\"The compound K2Cr2O7 is orange.\"]]"}</t>
  </si>
  <si>
    <t>Solubility:</t>
  </si>
  <si>
    <t>{"hash":"9bcd01d08cbe4c837d416f3c12768544f29c725a7b0a64d6e81481b095baa7a7","version":1,"value":"[[\"I'm sorry, but you haven't provided the name or formula of the compound. Could you please provide more information?\"]]"}</t>
  </si>
  <si>
    <t>{"hash":"dc24a936fcd874e7c34f9db18528c37eddf2b2a9958dea2b53205ac720e8ad54","version":1,"value":"[[\"The solubility of K2Cr2O7 (potassium dichromate) in water at normal conditions (25°C and 1 atm pressure) is approximately 4.9 g/100 mL of water.\"]]"}</t>
  </si>
  <si>
    <t>{"hash":"261b63dba9c8e6fe11546810047efe363d6400cb17f677c44586e1cde1f198be","version":1,"value":"[[\"Water (H2O) is a highly soluble compound. It is capable of dissolving a wide range of substances due to its polar nature. At normal conditions (25°C and 1 atmosphere pressure), the solubility of water is infinite, meaning it can dissolve an unlimited amount of certain substances.\"]]"}</t>
  </si>
  <si>
    <t>{"hash":"5396c0882d2079ec04f0f2608b3f2247b180bb7207025dceedf518af57d869ff","version":1,"value":"[[\"The compound H2O, also known as water, is colorless.\"]]"}</t>
  </si>
  <si>
    <t>{"hash":"bff9fb1f3e2f80886d6a215e4d2db576292244bfb2972af01ca56e471228edd5","version":1,"value":"[[\"The solubility of acetic acid (CH3COOH) in water is quite high. At normal conditions (25°C and 1 atmosphere pressure), acetic acid is completely miscible with water, meaning it will dissolve in any amount in water.\"]]"}</t>
  </si>
  <si>
    <t>{"hash":"38e4bef442898585ef7aacd913c78d03d83a75dfda2ab92329cc082701c43421","version":1,"value":"[[\"The compound CH3COOH, also known as acetic acid, is a colorless liquid.\"]]"}</t>
  </si>
  <si>
    <t>{"hash":"139fbf599a53eff87ef0f4362741cbaf1f10c262acc3f41b298b674ff6bce3dd","version":1,"value":"[[\"The solubility of CH3CH2OH (ethanol) is approximately 100% in water at room temperature (25°C) and atmospheric pressure. Ethanol is a highly polar compound that can form hydrogen bonds with water molecules, making it miscible in water.\"]]"}</t>
  </si>
  <si>
    <t>{"hash":"12b6b4562a002b662b7977556960951fd93d3cd8d792e4fda6864569f20f42c9","version":1,"value":"[[\"The compound CH3CH2OH is colorless.\"]]"}</t>
  </si>
  <si>
    <t>{"hash":"9fc2a14869a6744fcd7abd91e6670cceb58410429d7fb7710bd285cfe5b49ec8","version":1,"value":"[[\"The solubility of AgNO3 (silver nitrate) is approximately 1220 grams per liter of water at normal conditions (25 degrees Celsius and 1 atmosphere of pressure).\"]]"}</t>
  </si>
  <si>
    <t>{"hash":"c936df6aa5a2bff8d4a78e48096fb923976206a528a3d63484dc57d788a1b8a8","version":1,"value":"[[\"The compound AgNO3 is colorless.\"]]"}</t>
  </si>
  <si>
    <t>{"hash":"de7df0a4c00f0de10a2f0f051492a8384e892c60b1696a47511e02939214ebc7","version":1,"value":"[[\"The compound Br2 is a reddish-brown color.\"]]"}</t>
  </si>
  <si>
    <t>{"hash":"b4fdc7fe2eda78871547eea8efcae83e0f6f2c80f45c3850cd2787d622621879","version":1,"value":"[[\"The solubility of Br2 (bromine) in water is approximately 3.41 g/100 mL at 25°C.\"]]"}</t>
  </si>
  <si>
    <t>{"hash":"964803082332d6fabad6dd39ab44372f38807f99ddbe0231843583b741587127","version":1,"value":"[[\"The solubility of calcium bromide (CaBr2) in water is approximately 1220 grams per liter at 25 degrees Celsius.\"]]"}</t>
  </si>
  <si>
    <t>{"hash":"9547c3cfdde8de76b4bf7a84f9b09ffa9ab596c88c735474746792f19197a832","version":1,"value":"[[\"The compound CaBr2 is white in color.\"]]"}</t>
  </si>
  <si>
    <t>ml</t>
  </si>
  <si>
    <t>{"hash":"53bf2f2396d7086cba3f8ccc2179ea73c5968d6ac43faa2fa66a42c802ab08b8","version":1,"value":"[[\"The solubility of NaOH (sodium hydroxide) in water is approximately 1110 g/L at 20°C.\"]]"}</t>
  </si>
  <si>
    <t>{"hash":"5ef735519b077e080031647dd94f2c2a76b24b7410fe3040e3265ebbc5f6e7ba","version":1,"value":"[[\"The compound NaOH, also known as sodium hydroxide, is a white solid.\"]]"}</t>
  </si>
  <si>
    <t>Known mass</t>
  </si>
  <si>
    <t>mass</t>
  </si>
  <si>
    <t>mols</t>
  </si>
  <si>
    <t>V</t>
  </si>
  <si>
    <t>Cm</t>
  </si>
  <si>
    <t>moles</t>
  </si>
  <si>
    <t>Calculation of molar mass</t>
  </si>
  <si>
    <t>Compound:</t>
  </si>
  <si>
    <t>K2Cr2O7</t>
  </si>
  <si>
    <t>Molar mass</t>
  </si>
  <si>
    <t>Stoichiometry:</t>
  </si>
  <si>
    <t>Known quantity:</t>
  </si>
  <si>
    <t xml:space="preserve"> Atomic mass </t>
  </si>
  <si>
    <t xml:space="preserve"> Element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</si>
</sst>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3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3" borderId="8" xfId="0" applyFill="1" applyBorder="1"/>
    <xf numFmtId="0" fontId="0" fillId="0" borderId="9" xfId="0" applyBorder="1"/>
    <xf numFmtId="0" fontId="0" fillId="0" borderId="10" xfId="0" applyBorder="1"/>
    <xf numFmtId="0" fontId="1" fillId="0" borderId="10" xfId="0" applyFont="1" applyBorder="1" applyAlignment="1">
      <alignment horizontal="center" vertic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e%20Danila\AppData\Roaming\Microsoft\AddIns\ChemicalFormulas-1.1.xla" TargetMode="External"/><Relationship Id="rId1" Type="http://schemas.openxmlformats.org/officeDocument/2006/relationships/externalLinkPath" Target="/Users/Le%20Danila/AppData/Roaming/Microsoft/AddIns/ChemicalFormulas-1.1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abelle1"/>
    </sheetNames>
    <definedNames>
      <definedName name="MolarMass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9A160BF-6716-40E0-80EB-B913CC682090}" autoFormatId="16" applyNumberFormats="0" applyBorderFormats="0" applyFontFormats="0" applyPatternFormats="0" applyAlignmentFormats="0" applyWidthHeightFormats="0">
  <queryTableRefresh nextId="3">
    <queryTableFields count="2">
      <queryTableField id="1" name="Column1.2" tableColumnId="1"/>
      <queryTableField id="2" name="Column1.3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1BDA9DB-5381-4D0F-BD7F-2FF326540108}" name="Table4_1" displayName="Table4_1" ref="A1:B98" tableType="queryTable" totalsRowShown="0">
  <autoFilter ref="A1:B98" xr:uid="{51BDA9DB-5381-4D0F-BD7F-2FF326540108}"/>
  <tableColumns count="2">
    <tableColumn id="1" xr3:uid="{007C1D0C-F811-4EB7-B9D6-5169DF2503DB}" uniqueName="1" name=" Element " queryTableFieldId="1" dataDxfId="1"/>
    <tableColumn id="2" xr3:uid="{8147D372-50A2-4DEC-BC1E-80AAC5213838}" uniqueName="2" name=" Atomic mass 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F451008-B1A0-4699-ADF0-93A4A5D17708}">
  <we:reference id="wa200005502" version="1.0.0.11" store="en-US" storeType="OMEX"/>
  <we:alternateReferences>
    <we:reference id="wa200005502" version="1.0.0.11" store="wa200005502" storeType="OMEX"/>
  </we:alternateReferences>
  <we:properties>
    <we:property name="docId" value="&quot;7TvbkUA1lFZlFJbsh01uC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BE29C-A5D3-4ECF-9D0D-99F6B9329CC5}">
  <sheetPr codeName="Sheet1"/>
  <dimension ref="A1:J97"/>
  <sheetViews>
    <sheetView tabSelected="1" workbookViewId="0">
      <selection activeCell="G8" sqref="G8"/>
    </sheetView>
  </sheetViews>
  <sheetFormatPr defaultRowHeight="14.4" x14ac:dyDescent="0.3"/>
  <cols>
    <col min="1" max="1" width="12.33203125" bestFit="1" customWidth="1"/>
    <col min="2" max="2" width="15" bestFit="1" customWidth="1"/>
    <col min="4" max="4" width="16.109375" bestFit="1" customWidth="1"/>
    <col min="5" max="5" width="15.21875" bestFit="1" customWidth="1"/>
    <col min="6" max="6" width="16.109375" bestFit="1" customWidth="1"/>
    <col min="7" max="7" width="25.88671875" bestFit="1" customWidth="1"/>
    <col min="8" max="8" width="14.21875" bestFit="1" customWidth="1"/>
    <col min="9" max="9" width="20.109375" bestFit="1" customWidth="1"/>
    <col min="10" max="10" width="7.44140625" customWidth="1"/>
  </cols>
  <sheetData>
    <row r="1" spans="1:10" x14ac:dyDescent="0.3">
      <c r="A1" t="s">
        <v>235</v>
      </c>
      <c r="B1" t="s">
        <v>234</v>
      </c>
    </row>
    <row r="2" spans="1:10" x14ac:dyDescent="0.3">
      <c r="A2" t="s">
        <v>0</v>
      </c>
      <c r="B2" t="s">
        <v>1</v>
      </c>
      <c r="G2" t="s">
        <v>228</v>
      </c>
    </row>
    <row r="3" spans="1:10" x14ac:dyDescent="0.3">
      <c r="A3" t="s">
        <v>2</v>
      </c>
      <c r="B3" t="s">
        <v>3</v>
      </c>
    </row>
    <row r="4" spans="1:10" x14ac:dyDescent="0.3">
      <c r="A4" t="s">
        <v>4</v>
      </c>
      <c r="B4" t="s">
        <v>5</v>
      </c>
      <c r="F4" t="s">
        <v>229</v>
      </c>
      <c r="G4" s="1" t="s">
        <v>230</v>
      </c>
    </row>
    <row r="5" spans="1:10" x14ac:dyDescent="0.3">
      <c r="A5" t="s">
        <v>6</v>
      </c>
      <c r="B5" t="s">
        <v>7</v>
      </c>
      <c r="F5" t="s">
        <v>231</v>
      </c>
      <c r="G5" s="5" cm="1">
        <f t="array" ref="G5">[1]!MolarMass(G4)</f>
        <v>294.18460083007813</v>
      </c>
      <c r="H5" t="s">
        <v>193</v>
      </c>
    </row>
    <row r="6" spans="1:10" x14ac:dyDescent="0.3">
      <c r="A6" t="s">
        <v>8</v>
      </c>
      <c r="B6" t="s">
        <v>9</v>
      </c>
    </row>
    <row r="7" spans="1:10" x14ac:dyDescent="0.3">
      <c r="A7" t="s">
        <v>10</v>
      </c>
      <c r="B7" t="s">
        <v>11</v>
      </c>
    </row>
    <row r="8" spans="1:10" ht="18" x14ac:dyDescent="0.3">
      <c r="A8" t="s">
        <v>12</v>
      </c>
      <c r="B8" t="s">
        <v>13</v>
      </c>
      <c r="D8" s="14"/>
      <c r="E8" s="14"/>
      <c r="F8" s="14"/>
      <c r="G8" s="15" t="s">
        <v>232</v>
      </c>
      <c r="H8" s="14"/>
      <c r="I8" s="14"/>
      <c r="J8" s="14"/>
    </row>
    <row r="9" spans="1:10" ht="15" thickBot="1" x14ac:dyDescent="0.35">
      <c r="A9" t="s">
        <v>14</v>
      </c>
      <c r="B9" t="s">
        <v>15</v>
      </c>
    </row>
    <row r="10" spans="1:10" x14ac:dyDescent="0.3">
      <c r="A10" t="s">
        <v>16</v>
      </c>
      <c r="B10" t="s">
        <v>17</v>
      </c>
      <c r="D10" s="6"/>
      <c r="E10" s="7" t="s">
        <v>222</v>
      </c>
      <c r="F10" s="8"/>
      <c r="H10" s="6"/>
      <c r="I10" s="7" t="s">
        <v>233</v>
      </c>
      <c r="J10" s="8"/>
    </row>
    <row r="11" spans="1:10" x14ac:dyDescent="0.3">
      <c r="A11" t="s">
        <v>18</v>
      </c>
      <c r="B11" t="s">
        <v>19</v>
      </c>
      <c r="D11" s="9" t="s">
        <v>223</v>
      </c>
      <c r="E11" s="3">
        <v>200</v>
      </c>
      <c r="F11" s="10" t="s">
        <v>191</v>
      </c>
      <c r="H11" s="9" t="s">
        <v>227</v>
      </c>
      <c r="I11" s="3">
        <v>2</v>
      </c>
      <c r="J11" s="10" t="s">
        <v>192</v>
      </c>
    </row>
    <row r="12" spans="1:10" x14ac:dyDescent="0.3">
      <c r="A12" t="s">
        <v>20</v>
      </c>
      <c r="B12" t="s">
        <v>21</v>
      </c>
      <c r="D12" s="9" t="s">
        <v>224</v>
      </c>
      <c r="E12" s="4">
        <f>E11/G5</f>
        <v>0.67984523811129249</v>
      </c>
      <c r="F12" s="10" t="s">
        <v>192</v>
      </c>
      <c r="H12" s="9" t="s">
        <v>223</v>
      </c>
      <c r="I12" s="4">
        <f>I11*G5</f>
        <v>588.36920166015625</v>
      </c>
      <c r="J12" s="10" t="s">
        <v>191</v>
      </c>
    </row>
    <row r="13" spans="1:10" x14ac:dyDescent="0.3">
      <c r="A13" t="s">
        <v>22</v>
      </c>
      <c r="B13" t="s">
        <v>23</v>
      </c>
      <c r="D13" s="9"/>
      <c r="E13" s="2"/>
      <c r="F13" s="10"/>
      <c r="H13" s="9"/>
      <c r="I13" s="2"/>
      <c r="J13" s="10"/>
    </row>
    <row r="14" spans="1:10" x14ac:dyDescent="0.3">
      <c r="A14" t="s">
        <v>24</v>
      </c>
      <c r="B14" t="s">
        <v>25</v>
      </c>
      <c r="D14" s="9" t="s">
        <v>225</v>
      </c>
      <c r="E14" s="3">
        <v>1000</v>
      </c>
      <c r="F14" s="10" t="s">
        <v>219</v>
      </c>
      <c r="H14" s="9" t="s">
        <v>226</v>
      </c>
      <c r="I14" s="3">
        <v>1</v>
      </c>
      <c r="J14" s="10" t="s">
        <v>194</v>
      </c>
    </row>
    <row r="15" spans="1:10" ht="15" thickBot="1" x14ac:dyDescent="0.35">
      <c r="A15" t="s">
        <v>26</v>
      </c>
      <c r="B15" t="s">
        <v>27</v>
      </c>
      <c r="D15" s="11" t="s">
        <v>226</v>
      </c>
      <c r="E15" s="12">
        <f>E12/(E14/1000)</f>
        <v>0.67984523811129249</v>
      </c>
      <c r="F15" s="13" t="s">
        <v>194</v>
      </c>
      <c r="H15" s="11" t="s">
        <v>225</v>
      </c>
      <c r="I15" s="12">
        <f>(I11/I14)*1000</f>
        <v>2000</v>
      </c>
      <c r="J15" s="13" t="s">
        <v>219</v>
      </c>
    </row>
    <row r="16" spans="1:10" x14ac:dyDescent="0.3">
      <c r="A16" t="s">
        <v>28</v>
      </c>
      <c r="B16" t="s">
        <v>29</v>
      </c>
    </row>
    <row r="17" spans="1:4" x14ac:dyDescent="0.3">
      <c r="A17" t="s">
        <v>30</v>
      </c>
      <c r="B17" t="s">
        <v>31</v>
      </c>
    </row>
    <row r="18" spans="1:4" x14ac:dyDescent="0.3">
      <c r="A18" t="s">
        <v>32</v>
      </c>
      <c r="B18" t="s">
        <v>33</v>
      </c>
      <c r="D18" t="s">
        <v>202</v>
      </c>
    </row>
    <row r="19" spans="1:4" x14ac:dyDescent="0.3">
      <c r="A19" t="s">
        <v>34</v>
      </c>
      <c r="B19" t="s">
        <v>35</v>
      </c>
      <c r="D19" t="e" cm="1">
        <f t="array" aca="1" ref="D19" ca="1">GPT("What color is this compound: " &amp; G4)</f>
        <v>#NAME?</v>
      </c>
    </row>
    <row r="20" spans="1:4" x14ac:dyDescent="0.3">
      <c r="A20" t="s">
        <v>36</v>
      </c>
      <c r="B20" t="s">
        <v>37</v>
      </c>
    </row>
    <row r="21" spans="1:4" x14ac:dyDescent="0.3">
      <c r="A21" t="s">
        <v>38</v>
      </c>
      <c r="B21" t="s">
        <v>39</v>
      </c>
      <c r="D21" t="s">
        <v>204</v>
      </c>
    </row>
    <row r="22" spans="1:4" x14ac:dyDescent="0.3">
      <c r="A22" t="s">
        <v>40</v>
      </c>
      <c r="B22" t="s">
        <v>41</v>
      </c>
      <c r="D22" t="e" cm="1">
        <f t="array" aca="1" ref="D22" ca="1">_xldudf_GPT("What is the solubilitity of the compound (normal conditions):" &amp; G4)</f>
        <v>#NAME?</v>
      </c>
    </row>
    <row r="23" spans="1:4" x14ac:dyDescent="0.3">
      <c r="A23" t="s">
        <v>42</v>
      </c>
      <c r="B23" t="s">
        <v>43</v>
      </c>
    </row>
    <row r="24" spans="1:4" x14ac:dyDescent="0.3">
      <c r="A24" t="s">
        <v>44</v>
      </c>
      <c r="B24" t="s">
        <v>45</v>
      </c>
    </row>
    <row r="25" spans="1:4" x14ac:dyDescent="0.3">
      <c r="A25" t="s">
        <v>46</v>
      </c>
      <c r="B25" t="s">
        <v>47</v>
      </c>
    </row>
    <row r="26" spans="1:4" x14ac:dyDescent="0.3">
      <c r="A26" t="s">
        <v>48</v>
      </c>
      <c r="B26" t="s">
        <v>49</v>
      </c>
    </row>
    <row r="27" spans="1:4" x14ac:dyDescent="0.3">
      <c r="A27" t="s">
        <v>50</v>
      </c>
      <c r="B27" t="s">
        <v>51</v>
      </c>
    </row>
    <row r="28" spans="1:4" x14ac:dyDescent="0.3">
      <c r="A28" t="s">
        <v>52</v>
      </c>
      <c r="B28" t="s">
        <v>53</v>
      </c>
    </row>
    <row r="29" spans="1:4" x14ac:dyDescent="0.3">
      <c r="A29" t="s">
        <v>54</v>
      </c>
      <c r="B29" t="s">
        <v>55</v>
      </c>
    </row>
    <row r="30" spans="1:4" x14ac:dyDescent="0.3">
      <c r="A30" t="s">
        <v>56</v>
      </c>
      <c r="B30" t="s">
        <v>57</v>
      </c>
    </row>
    <row r="31" spans="1:4" x14ac:dyDescent="0.3">
      <c r="A31" t="s">
        <v>58</v>
      </c>
      <c r="B31" t="s">
        <v>59</v>
      </c>
    </row>
    <row r="32" spans="1:4" x14ac:dyDescent="0.3">
      <c r="A32" t="s">
        <v>60</v>
      </c>
      <c r="B32" t="s">
        <v>61</v>
      </c>
    </row>
    <row r="33" spans="1:2" x14ac:dyDescent="0.3">
      <c r="A33" t="s">
        <v>62</v>
      </c>
      <c r="B33" t="s">
        <v>63</v>
      </c>
    </row>
    <row r="34" spans="1:2" x14ac:dyDescent="0.3">
      <c r="A34" t="s">
        <v>64</v>
      </c>
      <c r="B34" t="s">
        <v>65</v>
      </c>
    </row>
    <row r="35" spans="1:2" x14ac:dyDescent="0.3">
      <c r="A35" t="s">
        <v>66</v>
      </c>
      <c r="B35" t="s">
        <v>67</v>
      </c>
    </row>
    <row r="36" spans="1:2" x14ac:dyDescent="0.3">
      <c r="A36" t="s">
        <v>68</v>
      </c>
      <c r="B36" t="s">
        <v>69</v>
      </c>
    </row>
    <row r="37" spans="1:2" x14ac:dyDescent="0.3">
      <c r="A37" t="s">
        <v>70</v>
      </c>
      <c r="B37" t="s">
        <v>71</v>
      </c>
    </row>
    <row r="38" spans="1:2" x14ac:dyDescent="0.3">
      <c r="A38" t="s">
        <v>72</v>
      </c>
      <c r="B38" t="s">
        <v>73</v>
      </c>
    </row>
    <row r="39" spans="1:2" x14ac:dyDescent="0.3">
      <c r="A39" t="s">
        <v>74</v>
      </c>
      <c r="B39" t="s">
        <v>75</v>
      </c>
    </row>
    <row r="40" spans="1:2" x14ac:dyDescent="0.3">
      <c r="A40" t="s">
        <v>76</v>
      </c>
      <c r="B40" t="s">
        <v>77</v>
      </c>
    </row>
    <row r="41" spans="1:2" x14ac:dyDescent="0.3">
      <c r="A41" t="s">
        <v>78</v>
      </c>
      <c r="B41" t="s">
        <v>79</v>
      </c>
    </row>
    <row r="42" spans="1:2" x14ac:dyDescent="0.3">
      <c r="A42" t="s">
        <v>80</v>
      </c>
      <c r="B42" t="s">
        <v>81</v>
      </c>
    </row>
    <row r="43" spans="1:2" x14ac:dyDescent="0.3">
      <c r="A43" t="s">
        <v>82</v>
      </c>
      <c r="B43" t="s">
        <v>83</v>
      </c>
    </row>
    <row r="44" spans="1:2" x14ac:dyDescent="0.3">
      <c r="A44" t="s">
        <v>84</v>
      </c>
      <c r="B44" t="s">
        <v>85</v>
      </c>
    </row>
    <row r="45" spans="1:2" x14ac:dyDescent="0.3">
      <c r="A45" t="s">
        <v>86</v>
      </c>
      <c r="B45" t="s">
        <v>87</v>
      </c>
    </row>
    <row r="46" spans="1:2" x14ac:dyDescent="0.3">
      <c r="A46" t="s">
        <v>88</v>
      </c>
      <c r="B46" t="s">
        <v>89</v>
      </c>
    </row>
    <row r="47" spans="1:2" x14ac:dyDescent="0.3">
      <c r="A47" t="s">
        <v>90</v>
      </c>
      <c r="B47" t="s">
        <v>91</v>
      </c>
    </row>
    <row r="48" spans="1:2" x14ac:dyDescent="0.3">
      <c r="A48" t="s">
        <v>92</v>
      </c>
      <c r="B48" t="s">
        <v>93</v>
      </c>
    </row>
    <row r="49" spans="1:2" x14ac:dyDescent="0.3">
      <c r="A49" t="s">
        <v>94</v>
      </c>
      <c r="B49" t="s">
        <v>95</v>
      </c>
    </row>
    <row r="50" spans="1:2" x14ac:dyDescent="0.3">
      <c r="A50" t="s">
        <v>96</v>
      </c>
      <c r="B50" t="s">
        <v>97</v>
      </c>
    </row>
    <row r="51" spans="1:2" x14ac:dyDescent="0.3">
      <c r="A51" t="s">
        <v>98</v>
      </c>
      <c r="B51" t="s">
        <v>99</v>
      </c>
    </row>
    <row r="52" spans="1:2" x14ac:dyDescent="0.3">
      <c r="A52" t="s">
        <v>100</v>
      </c>
      <c r="B52" t="s">
        <v>101</v>
      </c>
    </row>
    <row r="53" spans="1:2" x14ac:dyDescent="0.3">
      <c r="A53" t="s">
        <v>102</v>
      </c>
      <c r="B53" t="s">
        <v>103</v>
      </c>
    </row>
    <row r="54" spans="1:2" x14ac:dyDescent="0.3">
      <c r="A54" t="s">
        <v>104</v>
      </c>
      <c r="B54" t="s">
        <v>105</v>
      </c>
    </row>
    <row r="55" spans="1:2" x14ac:dyDescent="0.3">
      <c r="A55" t="s">
        <v>106</v>
      </c>
      <c r="B55" t="s">
        <v>107</v>
      </c>
    </row>
    <row r="56" spans="1:2" x14ac:dyDescent="0.3">
      <c r="A56" t="s">
        <v>108</v>
      </c>
      <c r="B56" t="s">
        <v>109</v>
      </c>
    </row>
    <row r="57" spans="1:2" x14ac:dyDescent="0.3">
      <c r="A57" t="s">
        <v>110</v>
      </c>
      <c r="B57" t="s">
        <v>111</v>
      </c>
    </row>
    <row r="58" spans="1:2" x14ac:dyDescent="0.3">
      <c r="A58" t="s">
        <v>112</v>
      </c>
      <c r="B58" t="s">
        <v>113</v>
      </c>
    </row>
    <row r="59" spans="1:2" x14ac:dyDescent="0.3">
      <c r="A59" t="s">
        <v>114</v>
      </c>
      <c r="B59" t="s">
        <v>115</v>
      </c>
    </row>
    <row r="60" spans="1:2" x14ac:dyDescent="0.3">
      <c r="A60" t="s">
        <v>116</v>
      </c>
      <c r="B60" t="s">
        <v>117</v>
      </c>
    </row>
    <row r="61" spans="1:2" x14ac:dyDescent="0.3">
      <c r="A61" t="s">
        <v>118</v>
      </c>
      <c r="B61" t="s">
        <v>119</v>
      </c>
    </row>
    <row r="62" spans="1:2" x14ac:dyDescent="0.3">
      <c r="A62" t="s">
        <v>120</v>
      </c>
      <c r="B62" t="s">
        <v>121</v>
      </c>
    </row>
    <row r="63" spans="1:2" x14ac:dyDescent="0.3">
      <c r="A63" t="s">
        <v>122</v>
      </c>
      <c r="B63" t="s">
        <v>123</v>
      </c>
    </row>
    <row r="64" spans="1:2" x14ac:dyDescent="0.3">
      <c r="A64" t="s">
        <v>124</v>
      </c>
      <c r="B64" t="s">
        <v>125</v>
      </c>
    </row>
    <row r="65" spans="1:2" x14ac:dyDescent="0.3">
      <c r="A65" t="s">
        <v>126</v>
      </c>
      <c r="B65" t="s">
        <v>127</v>
      </c>
    </row>
    <row r="66" spans="1:2" x14ac:dyDescent="0.3">
      <c r="A66" t="s">
        <v>128</v>
      </c>
      <c r="B66" t="s">
        <v>129</v>
      </c>
    </row>
    <row r="67" spans="1:2" x14ac:dyDescent="0.3">
      <c r="A67" t="s">
        <v>130</v>
      </c>
      <c r="B67" t="s">
        <v>131</v>
      </c>
    </row>
    <row r="68" spans="1:2" x14ac:dyDescent="0.3">
      <c r="A68" t="s">
        <v>132</v>
      </c>
      <c r="B68" t="s">
        <v>133</v>
      </c>
    </row>
    <row r="69" spans="1:2" x14ac:dyDescent="0.3">
      <c r="A69" t="s">
        <v>134</v>
      </c>
      <c r="B69" t="s">
        <v>135</v>
      </c>
    </row>
    <row r="70" spans="1:2" x14ac:dyDescent="0.3">
      <c r="A70" t="s">
        <v>136</v>
      </c>
      <c r="B70" t="s">
        <v>137</v>
      </c>
    </row>
    <row r="71" spans="1:2" x14ac:dyDescent="0.3">
      <c r="A71" t="s">
        <v>138</v>
      </c>
      <c r="B71" t="s">
        <v>139</v>
      </c>
    </row>
    <row r="72" spans="1:2" x14ac:dyDescent="0.3">
      <c r="A72" t="s">
        <v>140</v>
      </c>
      <c r="B72" t="s">
        <v>141</v>
      </c>
    </row>
    <row r="73" spans="1:2" x14ac:dyDescent="0.3">
      <c r="A73" t="s">
        <v>142</v>
      </c>
      <c r="B73" t="s">
        <v>143</v>
      </c>
    </row>
    <row r="74" spans="1:2" x14ac:dyDescent="0.3">
      <c r="A74" t="s">
        <v>144</v>
      </c>
      <c r="B74" t="s">
        <v>145</v>
      </c>
    </row>
    <row r="75" spans="1:2" x14ac:dyDescent="0.3">
      <c r="A75" t="s">
        <v>146</v>
      </c>
      <c r="B75" t="s">
        <v>147</v>
      </c>
    </row>
    <row r="76" spans="1:2" x14ac:dyDescent="0.3">
      <c r="A76" t="s">
        <v>148</v>
      </c>
      <c r="B76" t="s">
        <v>149</v>
      </c>
    </row>
    <row r="77" spans="1:2" x14ac:dyDescent="0.3">
      <c r="A77" t="s">
        <v>150</v>
      </c>
      <c r="B77" t="s">
        <v>151</v>
      </c>
    </row>
    <row r="78" spans="1:2" x14ac:dyDescent="0.3">
      <c r="A78" t="s">
        <v>152</v>
      </c>
      <c r="B78" t="s">
        <v>153</v>
      </c>
    </row>
    <row r="79" spans="1:2" x14ac:dyDescent="0.3">
      <c r="A79" t="s">
        <v>154</v>
      </c>
      <c r="B79" t="s">
        <v>155</v>
      </c>
    </row>
    <row r="80" spans="1:2" x14ac:dyDescent="0.3">
      <c r="A80" t="s">
        <v>156</v>
      </c>
      <c r="B80" t="s">
        <v>157</v>
      </c>
    </row>
    <row r="81" spans="1:2" x14ac:dyDescent="0.3">
      <c r="A81" t="s">
        <v>158</v>
      </c>
      <c r="B81" t="s">
        <v>159</v>
      </c>
    </row>
    <row r="82" spans="1:2" x14ac:dyDescent="0.3">
      <c r="A82" t="s">
        <v>160</v>
      </c>
      <c r="B82" t="s">
        <v>161</v>
      </c>
    </row>
    <row r="83" spans="1:2" x14ac:dyDescent="0.3">
      <c r="A83" t="s">
        <v>162</v>
      </c>
      <c r="B83" t="s">
        <v>163</v>
      </c>
    </row>
    <row r="84" spans="1:2" x14ac:dyDescent="0.3">
      <c r="A84" t="s">
        <v>164</v>
      </c>
      <c r="B84" t="s">
        <v>165</v>
      </c>
    </row>
    <row r="85" spans="1:2" x14ac:dyDescent="0.3">
      <c r="A85" t="s">
        <v>166</v>
      </c>
      <c r="B85" t="s">
        <v>167</v>
      </c>
    </row>
    <row r="86" spans="1:2" x14ac:dyDescent="0.3">
      <c r="A86" t="s">
        <v>168</v>
      </c>
      <c r="B86" t="s">
        <v>169</v>
      </c>
    </row>
    <row r="87" spans="1:2" x14ac:dyDescent="0.3">
      <c r="A87" t="s">
        <v>170</v>
      </c>
      <c r="B87" t="s">
        <v>171</v>
      </c>
    </row>
    <row r="88" spans="1:2" x14ac:dyDescent="0.3">
      <c r="A88" t="s">
        <v>172</v>
      </c>
      <c r="B88" t="s">
        <v>173</v>
      </c>
    </row>
    <row r="89" spans="1:2" x14ac:dyDescent="0.3">
      <c r="A89" t="s">
        <v>174</v>
      </c>
      <c r="B89" t="s">
        <v>175</v>
      </c>
    </row>
    <row r="90" spans="1:2" x14ac:dyDescent="0.3">
      <c r="A90" t="s">
        <v>176</v>
      </c>
      <c r="B90" t="s">
        <v>177</v>
      </c>
    </row>
    <row r="91" spans="1:2" x14ac:dyDescent="0.3">
      <c r="A91" t="s">
        <v>178</v>
      </c>
      <c r="B91" t="s">
        <v>177</v>
      </c>
    </row>
    <row r="92" spans="1:2" x14ac:dyDescent="0.3">
      <c r="A92" t="s">
        <v>179</v>
      </c>
      <c r="B92" t="s">
        <v>180</v>
      </c>
    </row>
    <row r="93" spans="1:2" x14ac:dyDescent="0.3">
      <c r="A93" t="s">
        <v>181</v>
      </c>
      <c r="B93" t="s">
        <v>182</v>
      </c>
    </row>
    <row r="94" spans="1:2" x14ac:dyDescent="0.3">
      <c r="A94" t="s">
        <v>183</v>
      </c>
      <c r="B94" t="s">
        <v>184</v>
      </c>
    </row>
    <row r="95" spans="1:2" x14ac:dyDescent="0.3">
      <c r="A95" t="s">
        <v>185</v>
      </c>
      <c r="B95" t="s">
        <v>186</v>
      </c>
    </row>
    <row r="96" spans="1:2" x14ac:dyDescent="0.3">
      <c r="A96" t="s">
        <v>187</v>
      </c>
      <c r="B96" t="s">
        <v>188</v>
      </c>
    </row>
    <row r="97" spans="1:2" x14ac:dyDescent="0.3">
      <c r="A97" t="s">
        <v>189</v>
      </c>
      <c r="B97" t="s">
        <v>190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6E3C9-9720-4DAF-B194-49C7824E4CE1}">
  <sheetPr codeName="Sheet2"/>
  <dimension ref="A1"/>
  <sheetViews>
    <sheetView workbookViewId="0"/>
  </sheetViews>
  <sheetFormatPr defaultRowHeight="14.4" x14ac:dyDescent="0.3"/>
  <cols>
    <col min="1" max="1" width="10.441406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A3018-3B49-47B1-A415-160D2316D6CA}">
  <dimension ref="EG149247:XEW1032026"/>
  <sheetViews>
    <sheetView workbookViewId="0"/>
  </sheetViews>
  <sheetFormatPr defaultRowHeight="14.4" x14ac:dyDescent="0.3"/>
  <sheetData>
    <row r="149247" spans="2491:2491" x14ac:dyDescent="0.3">
      <c r="CQU149247" t="s">
        <v>200</v>
      </c>
    </row>
    <row r="172361" spans="13392:13392" x14ac:dyDescent="0.3">
      <c r="SUB172361" t="s">
        <v>213</v>
      </c>
    </row>
    <row r="305463" spans="13544:13544" x14ac:dyDescent="0.3">
      <c r="SZX305463" t="s">
        <v>206</v>
      </c>
    </row>
    <row r="307229" spans="5288:5288" x14ac:dyDescent="0.3">
      <c r="GUJ307229" t="s">
        <v>197</v>
      </c>
    </row>
    <row r="311029" spans="1414:1414" x14ac:dyDescent="0.3">
      <c r="BBJ311029" t="s">
        <v>210</v>
      </c>
    </row>
    <row r="314168" spans="10529:10529" x14ac:dyDescent="0.3">
      <c r="ONY314168" t="s">
        <v>199</v>
      </c>
    </row>
    <row r="420753" spans="8515:8515" x14ac:dyDescent="0.3">
      <c r="LOM420753" t="s">
        <v>195</v>
      </c>
    </row>
    <row r="439383" spans="11111:11111" x14ac:dyDescent="0.3">
      <c r="PKI439383" t="s">
        <v>212</v>
      </c>
    </row>
    <row r="442505" spans="14829:14829" x14ac:dyDescent="0.3">
      <c r="UXI442505" t="s">
        <v>208</v>
      </c>
    </row>
    <row r="450411" spans="16377:16377" x14ac:dyDescent="0.3">
      <c r="XEW450411" t="s">
        <v>214</v>
      </c>
    </row>
    <row r="472402" spans="15881:15881" x14ac:dyDescent="0.3">
      <c r="WLU472402" t="s">
        <v>221</v>
      </c>
    </row>
    <row r="508880" spans="7799:7799" x14ac:dyDescent="0.3">
      <c r="KMY508880" t="s">
        <v>218</v>
      </c>
    </row>
    <row r="525065" spans="5883:5883" x14ac:dyDescent="0.3">
      <c r="HRG525065" t="s">
        <v>217</v>
      </c>
    </row>
    <row r="654112" spans="137:137" x14ac:dyDescent="0.3">
      <c r="EG654112" t="s">
        <v>209</v>
      </c>
    </row>
    <row r="722510" spans="1785:1785" x14ac:dyDescent="0.3">
      <c r="BPQ722510" t="s">
        <v>203</v>
      </c>
    </row>
    <row r="734604" spans="357:357" x14ac:dyDescent="0.3">
      <c r="MS734604" t="s">
        <v>196</v>
      </c>
    </row>
    <row r="746460" spans="9983:9983" x14ac:dyDescent="0.3">
      <c r="NSY746460" t="s">
        <v>207</v>
      </c>
    </row>
    <row r="852433" spans="3204:3204" x14ac:dyDescent="0.3">
      <c r="DSF852433" t="s">
        <v>205</v>
      </c>
    </row>
    <row r="872748" spans="10874:10874" x14ac:dyDescent="0.3">
      <c r="PBF872748" t="s">
        <v>198</v>
      </c>
    </row>
    <row r="903167" spans="14472:14472" x14ac:dyDescent="0.3">
      <c r="UJP903167" t="s">
        <v>216</v>
      </c>
    </row>
    <row r="913573" spans="3554:3554" x14ac:dyDescent="0.3">
      <c r="EFR913573" t="s">
        <v>215</v>
      </c>
    </row>
    <row r="987572" spans="2193:2193" x14ac:dyDescent="0.3">
      <c r="CFI987572" t="s">
        <v>201</v>
      </c>
    </row>
    <row r="995108" spans="2157:2157" x14ac:dyDescent="0.3">
      <c r="CDY995108" t="s">
        <v>220</v>
      </c>
    </row>
    <row r="1032026" spans="12281:12281" x14ac:dyDescent="0.3">
      <c r="RDI1032026" t="s">
        <v>211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20FB86-E5E8-442E-85E8-D1E89F15C9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BLOODY SCARL</dc:creator>
  <cp:lastModifiedBy>BLOODY SCARL</cp:lastModifiedBy>
  <dcterms:created xsi:type="dcterms:W3CDTF">2024-02-26T09:23:59Z</dcterms:created>
  <dcterms:modified xsi:type="dcterms:W3CDTF">2024-04-08T09:56:23Z</dcterms:modified>
</cp:coreProperties>
</file>